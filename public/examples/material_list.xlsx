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Transactions" sheetId="2" r:id="rId4"/>
  </sheets>
  <definedNames>
    <definedName name="StartingBalance">Summary!$N$8</definedName>
  </definedNames>
  <calcPr/>
</workbook>
</file>

<file path=xl/sharedStrings.xml><?xml version="1.0" encoding="utf-8"?>
<sst xmlns="http://schemas.openxmlformats.org/spreadsheetml/2006/main" count="51" uniqueCount="37">
  <si>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</si>
  <si>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</si>
  <si>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</si>
  <si>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</si>
  <si>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</si>
  <si>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</si>
  <si>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</si>
  <si>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</si>
  <si>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 xml:space="preserve">START BALANCE </t>
  </si>
  <si>
    <t xml:space="preserve"> END BALANCE</t>
  </si>
  <si>
    <t>Expenses</t>
  </si>
  <si>
    <t>Income</t>
  </si>
  <si>
    <t>Planned</t>
  </si>
  <si>
    <t>Actual</t>
  </si>
  <si>
    <t>Length</t>
  </si>
  <si>
    <t>Width</t>
  </si>
  <si>
    <t>SubQty</t>
  </si>
  <si>
    <t>Rate</t>
  </si>
  <si>
    <t>Total</t>
  </si>
  <si>
    <t>Diff.</t>
  </si>
  <si>
    <t>Totals</t>
  </si>
  <si>
    <t>20PL 1220mm</t>
  </si>
  <si>
    <t>20mm plate GR350</t>
  </si>
  <si>
    <t>250 PFC 9m</t>
  </si>
  <si>
    <t>75x50x2.5 RHS</t>
  </si>
  <si>
    <t>LVL 90X63</t>
  </si>
  <si>
    <t>90X63 LVL 7 meters</t>
  </si>
  <si>
    <t>M16x100</t>
  </si>
  <si>
    <t>SS316 M16  x 150</t>
  </si>
  <si>
    <t>Change or add categories by updating the Expenses and Income tables in the Summary sheet.</t>
  </si>
  <si>
    <t>Date</t>
  </si>
  <si>
    <t>Amount</t>
  </si>
  <si>
    <t>Description</t>
  </si>
  <si>
    <t>Category</t>
  </si>
  <si>
    <t>Rent</t>
  </si>
  <si>
    <t>Home</t>
  </si>
  <si>
    <t>Paycheck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</si>
</sst>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"/>
    <numFmt numFmtId="165" formatCode="mmmm&quot; &quot;yyyy"/>
    <numFmt numFmtId="166" formatCode="+#,#%;-#,#%;0%"/>
    <numFmt numFmtId="167" formatCode="&quot;$&quot;#,##0.00"/>
    <numFmt numFmtId="168" formatCode="+$#,#;-$#,#;$0"/>
    <numFmt numFmtId="169" formatCode="#,##0.000"/>
    <numFmt numFmtId="170" formatCode="M/d/yyyy"/>
  </numFmts>
  <fonts count="46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sz val="10.0"/>
      <color rgb="FF434343"/>
      <name val="Lato"/>
    </font>
    <font>
      <i/>
      <sz val="10.0"/>
      <color rgb="FF708090"/>
      <name val="Lato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0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2" fontId="8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4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4" xfId="0" applyAlignment="1" applyFont="1" applyNumberFormat="1">
      <alignment vertical="bottom"/>
    </xf>
    <xf borderId="4" fillId="0" fontId="16" numFmtId="0" xfId="0" applyBorder="1" applyFont="1"/>
    <xf borderId="0" fillId="5" fontId="17" numFmtId="166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4" xfId="0" applyAlignment="1" applyFont="1" applyNumberFormat="1">
      <alignment horizontal="left" readingOrder="0" vertical="bottom"/>
    </xf>
    <xf borderId="0" fillId="0" fontId="15" numFmtId="164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4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31" numFmtId="0" xfId="0" applyAlignment="1" applyFont="1">
      <alignment horizontal="left" vertical="top"/>
    </xf>
    <xf borderId="0" fillId="0" fontId="2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2" numFmtId="0" xfId="0" applyAlignment="1" applyFont="1">
      <alignment horizontal="left" vertical="top"/>
    </xf>
    <xf borderId="0" fillId="0" fontId="33" numFmtId="0" xfId="0" applyAlignment="1" applyFont="1">
      <alignment horizontal="left" vertical="top"/>
    </xf>
    <xf borderId="11" fillId="0" fontId="9" numFmtId="0" xfId="0" applyAlignment="1" applyBorder="1" applyFont="1">
      <alignment vertical="bottom"/>
    </xf>
    <xf borderId="12" fillId="0" fontId="34" numFmtId="0" xfId="0" applyAlignment="1" applyBorder="1" applyFont="1">
      <alignment horizontal="right" vertical="bottom"/>
    </xf>
    <xf borderId="12" fillId="0" fontId="35" numFmtId="0" xfId="0" applyAlignment="1" applyBorder="1" applyFont="1">
      <alignment horizontal="left" vertical="bottom"/>
    </xf>
    <xf borderId="12" fillId="0" fontId="34" numFmtId="0" xfId="0" applyAlignment="1" applyBorder="1" applyFont="1">
      <alignment horizontal="right" readingOrder="0" vertical="bottom"/>
    </xf>
    <xf borderId="11" fillId="0" fontId="9" numFmtId="0" xfId="0" applyAlignment="1" applyBorder="1" applyFont="1">
      <alignment horizontal="right" vertical="bottom"/>
    </xf>
    <xf borderId="12" fillId="0" fontId="36" numFmtId="0" xfId="0" applyAlignment="1" applyBorder="1" applyFont="1">
      <alignment horizontal="left" vertical="bottom"/>
    </xf>
    <xf borderId="12" fillId="0" fontId="37" numFmtId="0" xfId="0" applyAlignment="1" applyBorder="1" applyFont="1">
      <alignment horizontal="left" vertical="bottom"/>
    </xf>
    <xf borderId="0" fillId="0" fontId="38" numFmtId="0" xfId="0" applyAlignment="1" applyFont="1">
      <alignment vertical="top"/>
    </xf>
    <xf borderId="13" fillId="0" fontId="38" numFmtId="0" xfId="0" applyAlignment="1" applyBorder="1" applyFont="1">
      <alignment readingOrder="0" vertical="top"/>
    </xf>
    <xf borderId="13" fillId="0" fontId="38" numFmtId="0" xfId="0" applyAlignment="1" applyBorder="1" applyFont="1">
      <alignment vertical="top"/>
    </xf>
    <xf borderId="13" fillId="0" fontId="38" numFmtId="167" xfId="0" applyAlignment="1" applyBorder="1" applyFont="1" applyNumberFormat="1">
      <alignment horizontal="right" vertical="top"/>
    </xf>
    <xf borderId="13" fillId="0" fontId="38" numFmtId="164" xfId="0" applyAlignment="1" applyBorder="1" applyFont="1" applyNumberFormat="1">
      <alignment horizontal="right" vertical="top"/>
    </xf>
    <xf borderId="13" fillId="0" fontId="38" numFmtId="168" xfId="0" applyAlignment="1" applyBorder="1" applyFont="1" applyNumberFormat="1">
      <alignment horizontal="right" vertical="top"/>
    </xf>
    <xf borderId="0" fillId="0" fontId="38" numFmtId="0" xfId="0" applyAlignment="1" applyFont="1">
      <alignment horizontal="right" vertical="top"/>
    </xf>
    <xf borderId="13" fillId="0" fontId="38" numFmtId="0" xfId="0" applyAlignment="1" applyBorder="1" applyFont="1">
      <alignment horizontal="left" readingOrder="0" vertical="top"/>
    </xf>
    <xf borderId="13" fillId="0" fontId="38" numFmtId="0" xfId="0" applyAlignment="1" applyBorder="1" applyFont="1">
      <alignment horizontal="right" readingOrder="0" vertical="top"/>
    </xf>
    <xf borderId="14" fillId="0" fontId="39" numFmtId="164" xfId="0" applyAlignment="1" applyBorder="1" applyFont="1" applyNumberFormat="1">
      <alignment readingOrder="0" vertical="center"/>
    </xf>
    <xf borderId="15" fillId="0" fontId="16" numFmtId="0" xfId="0" applyBorder="1" applyFont="1"/>
    <xf borderId="0" fillId="0" fontId="39" numFmtId="169" xfId="0" applyAlignment="1" applyFont="1" applyNumberFormat="1">
      <alignment readingOrder="0" vertical="center"/>
    </xf>
    <xf borderId="0" fillId="0" fontId="39" numFmtId="3" xfId="0" applyAlignment="1" applyFont="1" applyNumberFormat="1">
      <alignment readingOrder="0" vertical="center"/>
    </xf>
    <xf borderId="0" fillId="0" fontId="40" numFmtId="4" xfId="0" applyAlignment="1" applyFont="1" applyNumberFormat="1">
      <alignment horizontal="right" readingOrder="0" vertical="center"/>
    </xf>
    <xf borderId="0" fillId="0" fontId="40" numFmtId="168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41" numFmtId="0" xfId="0" applyAlignment="1" applyFont="1">
      <alignment readingOrder="0"/>
    </xf>
    <xf borderId="0" fillId="0" fontId="42" numFmtId="164" xfId="0" applyAlignment="1" applyFont="1" applyNumberFormat="1">
      <alignment readingOrder="0"/>
    </xf>
    <xf borderId="0" fillId="0" fontId="43" numFmtId="164" xfId="0" applyAlignment="1" applyFont="1" applyNumberFormat="1">
      <alignment horizontal="right" vertical="center"/>
    </xf>
    <xf borderId="15" fillId="0" fontId="39" numFmtId="3" xfId="0" applyAlignment="1" applyBorder="1" applyFont="1" applyNumberFormat="1">
      <alignment readingOrder="0" vertical="center"/>
    </xf>
    <xf borderId="0" fillId="3" fontId="39" numFmtId="3" xfId="0" applyAlignment="1" applyFont="1" applyNumberFormat="1">
      <alignment readingOrder="0" vertical="center"/>
    </xf>
    <xf borderId="0" fillId="0" fontId="40" numFmtId="3" xfId="0" applyAlignment="1" applyFont="1" applyNumberFormat="1">
      <alignment horizontal="right" readingOrder="0" vertical="center"/>
    </xf>
    <xf borderId="0" fillId="0" fontId="20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right" vertical="center"/>
    </xf>
    <xf borderId="0" fillId="0" fontId="1" numFmtId="168" xfId="0" applyAlignment="1" applyFont="1" applyNumberFormat="1">
      <alignment horizontal="right" vertical="center"/>
    </xf>
    <xf borderId="0" fillId="0" fontId="39" numFmtId="164" xfId="0" applyAlignment="1" applyFont="1" applyNumberFormat="1">
      <alignment readingOrder="0" vertical="center"/>
    </xf>
    <xf borderId="0" fillId="0" fontId="43" numFmtId="164" xfId="0" applyAlignment="1" applyFont="1" applyNumberFormat="1">
      <alignment horizontal="right" readingOrder="0" vertical="center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vertical="bottom"/>
    </xf>
    <xf borderId="16" fillId="0" fontId="1" numFmtId="0" xfId="0" applyAlignment="1" applyBorder="1" applyFont="1">
      <alignment vertical="bottom"/>
    </xf>
    <xf borderId="0" fillId="0" fontId="34" numFmtId="0" xfId="0" applyAlignment="1" applyFont="1">
      <alignment horizontal="left" vertical="center"/>
    </xf>
    <xf borderId="17" fillId="0" fontId="40" numFmtId="170" xfId="0" applyAlignment="1" applyBorder="1" applyFont="1" applyNumberFormat="1">
      <alignment horizontal="left" readingOrder="0" vertical="center"/>
    </xf>
    <xf borderId="17" fillId="0" fontId="26" numFmtId="167" xfId="0" applyAlignment="1" applyBorder="1" applyFont="1" applyNumberFormat="1">
      <alignment horizontal="left" readingOrder="0" vertical="center"/>
    </xf>
    <xf borderId="17" fillId="0" fontId="45" numFmtId="0" xfId="0" applyAlignment="1" applyBorder="1" applyFont="1">
      <alignment horizontal="left" readingOrder="0" vertical="center"/>
    </xf>
    <xf borderId="17" fillId="0" fontId="40" numFmtId="0" xfId="0" applyAlignment="1" applyBorder="1" applyFont="1">
      <alignment horizontal="left" readingOrder="0" vertical="center"/>
    </xf>
    <xf borderId="17" fillId="0" fontId="25" numFmtId="0" xfId="0" applyAlignment="1" applyBorder="1" applyFont="1">
      <alignment horizontal="left" readingOrder="0" vertical="center"/>
    </xf>
    <xf borderId="18" fillId="0" fontId="40" numFmtId="170" xfId="0" applyAlignment="1" applyBorder="1" applyFont="1" applyNumberFormat="1">
      <alignment horizontal="left" readingOrder="0" vertical="center"/>
    </xf>
    <xf borderId="18" fillId="0" fontId="26" numFmtId="167" xfId="0" applyAlignment="1" applyBorder="1" applyFont="1" applyNumberFormat="1">
      <alignment horizontal="left" readingOrder="0" vertical="center"/>
    </xf>
    <xf borderId="18" fillId="0" fontId="45" numFmtId="0" xfId="0" applyAlignment="1" applyBorder="1" applyFont="1">
      <alignment horizontal="left" readingOrder="0" vertical="center"/>
    </xf>
    <xf borderId="18" fillId="0" fontId="40" numFmtId="0" xfId="0" applyAlignment="1" applyBorder="1" applyFont="1">
      <alignment horizontal="left" readingOrder="0" vertical="center"/>
    </xf>
    <xf borderId="18" fillId="0" fontId="25" numFmtId="0" xfId="0" applyAlignment="1" applyBorder="1" applyFont="1">
      <alignment horizontal="left" readingOrder="0" vertical="center"/>
    </xf>
    <xf borderId="18" fillId="0" fontId="40" numFmtId="0" xfId="0" applyAlignment="1" applyBorder="1" applyFont="1">
      <alignment horizontal="left" vertical="center"/>
    </xf>
    <xf borderId="18" fillId="0" fontId="25" numFmtId="0" xfId="0" applyAlignment="1" applyBorder="1" applyFont="1">
      <alignment horizontal="left" vertical="center"/>
    </xf>
    <xf borderId="18" fillId="0" fontId="40" numFmtId="170" xfId="0" applyAlignment="1" applyBorder="1" applyFont="1" applyNumberFormat="1">
      <alignment horizontal="left" vertical="center"/>
    </xf>
    <xf borderId="18" fillId="0" fontId="26" numFmtId="167" xfId="0" applyAlignment="1" applyBorder="1" applyFont="1" applyNumberFormat="1">
      <alignment horizontal="left" vertical="center"/>
    </xf>
    <xf borderId="18" fillId="0" fontId="45" numFmtId="0" xfId="0" applyAlignment="1" applyBorder="1" applyFont="1">
      <alignment horizontal="left" vertical="center"/>
    </xf>
    <xf borderId="19" fillId="0" fontId="40" numFmtId="14" xfId="0" applyAlignment="1" applyBorder="1" applyFont="1" applyNumberFormat="1">
      <alignment horizontal="left" vertical="center"/>
    </xf>
    <xf borderId="19" fillId="0" fontId="26" numFmtId="167" xfId="0" applyAlignment="1" applyBorder="1" applyFont="1" applyNumberFormat="1">
      <alignment horizontal="left" readingOrder="0" vertical="center"/>
    </xf>
    <xf borderId="19" fillId="0" fontId="45" numFmtId="0" xfId="0" applyAlignment="1" applyBorder="1" applyFont="1">
      <alignment horizontal="left" vertical="center"/>
    </xf>
    <xf borderId="19" fillId="0" fontId="40" numFmtId="0" xfId="0" applyAlignment="1" applyBorder="1" applyFont="1">
      <alignment horizontal="left" vertical="center"/>
    </xf>
    <xf borderId="19" fillId="0" fontId="26" numFmtId="167" xfId="0" applyAlignment="1" applyBorder="1" applyFont="1" applyNumberFormat="1">
      <alignment horizontal="left" vertical="center"/>
    </xf>
    <xf borderId="19" fillId="0" fontId="25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8.88"/>
    <col customWidth="1" min="3" max="3" width="11.25"/>
    <col customWidth="1" min="4" max="14" width="8.88"/>
    <col customWidth="1" min="15" max="15" width="6.13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</row>
    <row r="2" ht="21.0" customHeight="1">
      <c r="A2" s="3"/>
      <c r="B2" s="4" t="s">
        <v>0</v>
      </c>
      <c r="K2" s="5" t="s">
        <v>1</v>
      </c>
      <c r="O2" s="3"/>
    </row>
    <row r="3" ht="16.5" customHeight="1">
      <c r="A3" s="6"/>
      <c r="B3" s="7" t="s">
        <v>2</v>
      </c>
      <c r="J3" s="8"/>
      <c r="K3" s="9" t="s">
        <v>3</v>
      </c>
      <c r="O3" s="10"/>
    </row>
    <row r="4" ht="10.5" customHeight="1">
      <c r="A4" s="6"/>
      <c r="J4" s="8"/>
      <c r="K4" s="11" t="s">
        <v>4</v>
      </c>
    </row>
    <row r="5">
      <c r="A5" s="6"/>
      <c r="B5" s="7" t="s">
        <v>5</v>
      </c>
      <c r="J5" s="8"/>
    </row>
    <row r="6" ht="23.25" customHeight="1">
      <c r="A6" s="12"/>
      <c r="J6" s="13"/>
      <c r="K6" s="14"/>
      <c r="L6" s="14"/>
      <c r="M6" s="14"/>
      <c r="N6" s="14"/>
      <c r="O6" s="14"/>
    </row>
    <row r="7" ht="30.0" customHeight="1">
      <c r="A7" s="15"/>
      <c r="B7" s="16"/>
      <c r="C7" s="16"/>
      <c r="D7" s="16"/>
      <c r="E7" s="17"/>
      <c r="F7" s="17"/>
      <c r="G7" s="18"/>
      <c r="H7" s="18"/>
      <c r="I7" s="19"/>
      <c r="J7" s="18"/>
      <c r="K7" s="18"/>
      <c r="L7" s="18"/>
      <c r="M7" s="18"/>
      <c r="N7" s="18"/>
      <c r="O7" s="18"/>
    </row>
    <row r="8" ht="18.0" customHeight="1">
      <c r="A8" s="20"/>
      <c r="B8" s="21" t="s">
        <v>6</v>
      </c>
      <c r="G8" s="18"/>
      <c r="H8" s="18"/>
      <c r="I8" s="22"/>
      <c r="J8" s="18"/>
      <c r="K8" s="23"/>
      <c r="L8" s="24" t="s">
        <v>7</v>
      </c>
      <c r="N8" s="25">
        <v>1000.0</v>
      </c>
      <c r="O8" s="18"/>
    </row>
    <row r="9" ht="18.0" customHeight="1">
      <c r="A9" s="20"/>
      <c r="G9" s="18"/>
      <c r="H9" s="18"/>
      <c r="I9" s="22"/>
      <c r="J9" s="18"/>
      <c r="K9" s="26"/>
      <c r="L9" s="18"/>
      <c r="M9" s="18"/>
      <c r="N9" s="22"/>
      <c r="O9" s="18"/>
    </row>
    <row r="10" ht="18.0" customHeight="1">
      <c r="A10" s="18"/>
      <c r="B10" s="27"/>
      <c r="C10" s="27"/>
      <c r="D10" s="27"/>
      <c r="E10" s="27"/>
      <c r="F10" s="27"/>
      <c r="G10" s="18"/>
      <c r="H10" s="18"/>
      <c r="I10" s="22"/>
      <c r="J10" s="18"/>
      <c r="K10" s="26"/>
      <c r="L10" s="18"/>
      <c r="M10" s="18"/>
      <c r="N10" s="22"/>
      <c r="O10" s="18"/>
    </row>
    <row r="11" ht="12.0" customHeight="1">
      <c r="A11" s="15"/>
      <c r="B11" s="28"/>
      <c r="C11" s="28"/>
      <c r="D11" s="29"/>
      <c r="E11" s="15"/>
      <c r="F11" s="15"/>
      <c r="G11" s="15"/>
      <c r="H11" s="15"/>
      <c r="I11" s="23"/>
      <c r="J11" s="30"/>
      <c r="K11" s="31"/>
      <c r="L11" s="31"/>
      <c r="M11" s="31"/>
      <c r="N11" s="32"/>
      <c r="O11" s="15"/>
    </row>
    <row r="12" ht="18.0" customHeight="1">
      <c r="A12" s="23"/>
      <c r="B12" s="15"/>
      <c r="C12" s="23"/>
      <c r="D12" s="33" t="str">
        <f t="array" ref="D12">SPARKLINE(D17,{"charttype","column";"ymin", 0; "ymax",MAX(D17:F17);"firstcolor","#334960"})</f>
        <v>#REF!</v>
      </c>
      <c r="E12" s="15"/>
      <c r="F12" s="15" t="str">
        <f t="array" ref="F12">SPARKLINE(F17,{"charttype","column";"ymin", 0; "ymax",max(D17:F17);"firstcolor","#f46524"})</f>
        <v>#REF!</v>
      </c>
      <c r="G12" s="15"/>
      <c r="H12" s="15"/>
      <c r="I12" s="15"/>
      <c r="J12" s="34"/>
      <c r="K12" s="35"/>
      <c r="L12" s="35"/>
      <c r="M12" s="35"/>
      <c r="N12" s="36"/>
      <c r="O12" s="23"/>
    </row>
    <row r="13" ht="18.0" customHeight="1">
      <c r="A13" s="23"/>
      <c r="B13" s="15"/>
      <c r="C13" s="37"/>
      <c r="D13" s="38"/>
      <c r="E13" s="15"/>
      <c r="G13" s="15"/>
      <c r="H13" s="15"/>
      <c r="I13" s="15"/>
      <c r="J13" s="34"/>
      <c r="K13" s="39" t="str">
        <f>iferror(F17/D17-1, "")</f>
        <v/>
      </c>
      <c r="N13" s="36"/>
      <c r="O13" s="40"/>
    </row>
    <row r="14" ht="24.0" customHeight="1">
      <c r="A14" s="15"/>
      <c r="B14" s="15"/>
      <c r="C14" s="37"/>
      <c r="D14" s="38"/>
      <c r="E14" s="15"/>
      <c r="G14" s="15"/>
      <c r="H14" s="15"/>
      <c r="I14" s="15"/>
      <c r="J14" s="34"/>
      <c r="K14" s="41" t="str">
        <f>if(K13 &lt; 0, "Decrease in total savings", "Increase in total savings")</f>
        <v>Increase in total savings</v>
      </c>
      <c r="L14" s="42"/>
      <c r="M14" s="42"/>
      <c r="N14" s="36"/>
      <c r="O14" s="43"/>
    </row>
    <row r="15" ht="39.75" customHeight="1">
      <c r="A15" s="15"/>
      <c r="B15" s="15"/>
      <c r="C15" s="37"/>
      <c r="D15" s="38"/>
      <c r="E15" s="15"/>
      <c r="G15" s="15"/>
      <c r="H15" s="15"/>
      <c r="I15" s="37"/>
      <c r="J15" s="34"/>
      <c r="K15" s="44">
        <f>iferror(F17-D17, 0)</f>
        <v>0</v>
      </c>
      <c r="N15" s="45"/>
      <c r="O15" s="43"/>
    </row>
    <row r="16" ht="18.0" customHeight="1">
      <c r="A16" s="15"/>
      <c r="B16" s="28"/>
      <c r="C16" s="46"/>
      <c r="D16" s="47" t="s">
        <v>8</v>
      </c>
      <c r="E16" s="48"/>
      <c r="F16" s="48" t="s">
        <v>9</v>
      </c>
      <c r="G16" s="46"/>
      <c r="H16" s="46"/>
      <c r="I16" s="49"/>
      <c r="J16" s="34"/>
      <c r="K16" s="50" t="str">
        <f>if(L15&lt;0, "Spent this month", "Saved this month")</f>
        <v>Saved this month</v>
      </c>
      <c r="N16" s="36"/>
      <c r="O16" s="51"/>
    </row>
    <row r="17" ht="18.0" customHeight="1">
      <c r="A17" s="23"/>
      <c r="B17" s="15"/>
      <c r="C17" s="23"/>
      <c r="D17" s="52">
        <f>if(isblank(N8),0,N8)</f>
        <v>1000</v>
      </c>
      <c r="E17" s="53"/>
      <c r="F17" s="53" t="str">
        <f>D17+(K22-C22)</f>
        <v>#REF!</v>
      </c>
      <c r="G17" s="23"/>
      <c r="H17" s="23"/>
      <c r="I17" s="37"/>
      <c r="J17" s="34"/>
      <c r="K17" s="35"/>
      <c r="N17" s="36"/>
      <c r="O17" s="23"/>
    </row>
    <row r="18" ht="12.0" customHeight="1">
      <c r="A18" s="23"/>
      <c r="B18" s="54"/>
      <c r="C18" s="54"/>
      <c r="D18" s="54"/>
      <c r="E18" s="54"/>
      <c r="F18" s="54"/>
      <c r="G18" s="54"/>
      <c r="H18" s="54"/>
      <c r="I18" s="23"/>
      <c r="J18" s="55"/>
      <c r="K18" s="56"/>
      <c r="L18" s="57"/>
      <c r="M18" s="56"/>
      <c r="N18" s="58"/>
      <c r="O18" s="23"/>
    </row>
    <row r="19" ht="24.0" customHeight="1">
      <c r="A19" s="23"/>
      <c r="B19" s="54"/>
      <c r="C19" s="54"/>
      <c r="D19" s="54"/>
      <c r="E19" s="54"/>
      <c r="F19" s="54"/>
      <c r="G19" s="54"/>
      <c r="H19" s="54"/>
      <c r="I19" s="23"/>
      <c r="J19" s="23"/>
      <c r="K19" s="23"/>
      <c r="L19" s="59"/>
      <c r="M19" s="23"/>
      <c r="N19" s="23"/>
      <c r="O19" s="23"/>
    </row>
    <row r="20" ht="24.0" customHeight="1">
      <c r="A20" s="60"/>
      <c r="B20" s="61" t="s">
        <v>10</v>
      </c>
      <c r="I20" s="60"/>
      <c r="J20" s="61" t="s">
        <v>11</v>
      </c>
      <c r="K20" s="61"/>
      <c r="L20" s="62"/>
      <c r="M20" s="60"/>
      <c r="N20" s="60"/>
      <c r="O20" s="60"/>
    </row>
    <row r="21" ht="19.5" customHeight="1">
      <c r="A21" s="63"/>
      <c r="B21" s="64" t="s">
        <v>12</v>
      </c>
      <c r="C21" s="65">
        <f>D26</f>
        <v>35.5</v>
      </c>
      <c r="D21" s="66" t="str">
        <f>IFERROR(__xludf.DUMMYFUNCTION("SPARKLINE(C21,{""charttype"",""bar"";""max"",max(C21:C22);""color1"",""#AEB7C0""})"),"")</f>
        <v/>
      </c>
      <c r="I21" s="63"/>
      <c r="J21" s="64" t="s">
        <v>12</v>
      </c>
      <c r="K21" s="65" t="str">
        <f>L26</f>
        <v>#REF!</v>
      </c>
      <c r="L21" s="66" t="str">
        <f t="array" ref="L21">SPARKLINE(K21,{"charttype","bar";"max",max(K21:K22);"color1","#AEB7C0"})</f>
        <v>#REF!</v>
      </c>
      <c r="O21" s="63"/>
    </row>
    <row r="22" ht="19.5" customHeight="1">
      <c r="A22" s="67"/>
      <c r="B22" s="68" t="s">
        <v>13</v>
      </c>
      <c r="C22" s="69">
        <f>F26</f>
        <v>158</v>
      </c>
      <c r="D22" s="70" t="str">
        <f>IFERROR(__xludf.DUMMYFUNCTION("SPARKLINE(C22,{""charttype"",""bar"";""max"",max(C21:C22);""color1"",""#334960""})"),"")</f>
        <v/>
      </c>
      <c r="I22" s="54"/>
      <c r="J22" s="68" t="s">
        <v>13</v>
      </c>
      <c r="K22" s="69" t="str">
        <f>M26</f>
        <v>#REF!</v>
      </c>
      <c r="L22" s="70" t="str">
        <f t="array" ref="L22">SPARKLINE(K22,{"charttype","bar";"max",max(K21:K22);"color1","#334960"})</f>
        <v>#REF!</v>
      </c>
      <c r="O22" s="67"/>
    </row>
    <row r="23" ht="30.0" customHeight="1">
      <c r="A23" s="15"/>
      <c r="B23" s="71"/>
      <c r="C23" s="72"/>
      <c r="D23" s="73"/>
      <c r="I23" s="15"/>
      <c r="J23" s="71"/>
      <c r="K23" s="72"/>
      <c r="L23" s="73"/>
      <c r="O23" s="67"/>
    </row>
    <row r="24" ht="29.25" customHeight="1">
      <c r="A24" s="74"/>
      <c r="B24" s="75" t="s">
        <v>10</v>
      </c>
      <c r="D24" s="76"/>
      <c r="E24" s="76"/>
      <c r="F24" s="76"/>
      <c r="G24" s="76"/>
      <c r="H24" s="76"/>
      <c r="I24" s="77"/>
      <c r="J24" s="78" t="s">
        <v>11</v>
      </c>
      <c r="K24" s="79"/>
      <c r="L24" s="76"/>
      <c r="M24" s="76"/>
      <c r="N24" s="76"/>
      <c r="O24" s="74"/>
    </row>
    <row r="25" ht="19.5" customHeight="1">
      <c r="A25" s="80"/>
      <c r="B25" s="81"/>
      <c r="C25" s="82"/>
      <c r="D25" s="83" t="s">
        <v>14</v>
      </c>
      <c r="E25" s="83" t="s">
        <v>15</v>
      </c>
      <c r="F25" s="83" t="s">
        <v>16</v>
      </c>
      <c r="G25" s="83" t="s">
        <v>17</v>
      </c>
      <c r="H25" s="83" t="s">
        <v>18</v>
      </c>
      <c r="I25" s="84"/>
      <c r="J25" s="85"/>
      <c r="K25" s="86"/>
      <c r="L25" s="81" t="s">
        <v>12</v>
      </c>
      <c r="M25" s="83" t="s">
        <v>13</v>
      </c>
      <c r="N25" s="83" t="s">
        <v>19</v>
      </c>
      <c r="O25" s="80"/>
    </row>
    <row r="26" ht="17.25" customHeight="1">
      <c r="A26" s="87"/>
      <c r="B26" s="88" t="s">
        <v>20</v>
      </c>
      <c r="C26" s="89"/>
      <c r="D26" s="90">
        <f>sum(D27:D70)</f>
        <v>35.5</v>
      </c>
      <c r="E26" s="91"/>
      <c r="F26" s="91">
        <f>sum(F27:F70)</f>
        <v>158</v>
      </c>
      <c r="G26" s="92"/>
      <c r="H26" s="92">
        <f>sum(H27:H70)</f>
        <v>10014.6</v>
      </c>
      <c r="I26" s="93"/>
      <c r="J26" s="94" t="s">
        <v>20</v>
      </c>
      <c r="K26" s="95"/>
      <c r="L26" s="91" t="str">
        <f t="shared" ref="L26:N26" si="1">sum(#REF!)</f>
        <v>#REF!</v>
      </c>
      <c r="M26" s="91" t="str">
        <f t="shared" si="1"/>
        <v>#REF!</v>
      </c>
      <c r="N26" s="92" t="str">
        <f t="shared" si="1"/>
        <v>#REF!</v>
      </c>
      <c r="O26" s="87"/>
    </row>
    <row r="27" ht="18.0" customHeight="1">
      <c r="A27" s="67"/>
      <c r="B27" s="96" t="s">
        <v>21</v>
      </c>
      <c r="C27" s="97"/>
      <c r="D27" s="98">
        <v>5.5</v>
      </c>
      <c r="E27" s="98">
        <v>1.22</v>
      </c>
      <c r="F27" s="99">
        <v>6.0</v>
      </c>
      <c r="G27" s="100">
        <v>10.0</v>
      </c>
      <c r="H27" s="101">
        <f t="shared" ref="H27:H34" si="2">D27*E27*F27*G27</f>
        <v>402.6</v>
      </c>
      <c r="I27" s="102"/>
      <c r="J27" s="103"/>
      <c r="K27" s="103"/>
      <c r="L27" s="104"/>
      <c r="M27" s="105"/>
      <c r="N27" s="101"/>
      <c r="O27" s="67"/>
    </row>
    <row r="28" ht="18.0" customHeight="1">
      <c r="A28" s="67"/>
      <c r="B28" s="96" t="s">
        <v>22</v>
      </c>
      <c r="C28" s="97"/>
      <c r="D28" s="98">
        <v>6.0</v>
      </c>
      <c r="E28" s="98">
        <v>1.0</v>
      </c>
      <c r="F28" s="99">
        <v>6.0</v>
      </c>
      <c r="G28" s="100">
        <v>10.0</v>
      </c>
      <c r="H28" s="101">
        <f t="shared" si="2"/>
        <v>360</v>
      </c>
      <c r="I28" s="102"/>
      <c r="J28" s="103"/>
      <c r="K28" s="103"/>
      <c r="L28" s="104"/>
      <c r="M28" s="105"/>
      <c r="N28" s="101"/>
      <c r="O28" s="67"/>
    </row>
    <row r="29" ht="18.0" customHeight="1">
      <c r="A29" s="67"/>
      <c r="B29" s="96" t="s">
        <v>23</v>
      </c>
      <c r="C29" s="97"/>
      <c r="D29" s="106">
        <v>9.0</v>
      </c>
      <c r="E29" s="99">
        <v>1.0</v>
      </c>
      <c r="F29" s="99">
        <v>10.0</v>
      </c>
      <c r="G29" s="100">
        <v>60.0</v>
      </c>
      <c r="H29" s="101">
        <f t="shared" si="2"/>
        <v>5400</v>
      </c>
      <c r="I29" s="102"/>
      <c r="J29" s="103"/>
      <c r="K29" s="103"/>
      <c r="L29" s="104"/>
      <c r="M29" s="105"/>
      <c r="N29" s="101"/>
      <c r="O29" s="67"/>
    </row>
    <row r="30" ht="18.0" customHeight="1">
      <c r="A30" s="67"/>
      <c r="B30" s="99" t="s">
        <v>24</v>
      </c>
      <c r="C30" s="107"/>
      <c r="D30" s="99">
        <v>1.0</v>
      </c>
      <c r="E30" s="99">
        <v>1.0</v>
      </c>
      <c r="F30" s="99">
        <v>13.0</v>
      </c>
      <c r="G30" s="108">
        <v>2.0</v>
      </c>
      <c r="H30" s="101">
        <f t="shared" si="2"/>
        <v>26</v>
      </c>
      <c r="I30" s="102"/>
      <c r="J30" s="109"/>
      <c r="K30" s="109"/>
      <c r="L30" s="110"/>
      <c r="M30" s="111"/>
      <c r="N30" s="112"/>
      <c r="O30" s="67"/>
    </row>
    <row r="31" ht="18.0" customHeight="1">
      <c r="A31" s="67"/>
      <c r="B31" s="96" t="s">
        <v>25</v>
      </c>
      <c r="C31" s="97"/>
      <c r="D31" s="99">
        <v>4.0</v>
      </c>
      <c r="E31" s="99">
        <v>1.0</v>
      </c>
      <c r="F31" s="99">
        <v>5.0</v>
      </c>
      <c r="G31" s="108">
        <v>60.0</v>
      </c>
      <c r="H31" s="101">
        <f t="shared" si="2"/>
        <v>1200</v>
      </c>
      <c r="I31" s="102"/>
      <c r="J31" s="109"/>
      <c r="K31" s="109"/>
      <c r="L31" s="110"/>
      <c r="M31" s="111"/>
      <c r="N31" s="112"/>
      <c r="O31" s="67"/>
    </row>
    <row r="32" ht="18.0" customHeight="1">
      <c r="A32" s="67"/>
      <c r="B32" s="96" t="s">
        <v>26</v>
      </c>
      <c r="C32" s="97"/>
      <c r="D32" s="99">
        <v>8.0</v>
      </c>
      <c r="E32" s="99">
        <v>1.0</v>
      </c>
      <c r="F32" s="99">
        <v>5.0</v>
      </c>
      <c r="G32" s="108">
        <v>60.0</v>
      </c>
      <c r="H32" s="101">
        <f t="shared" si="2"/>
        <v>2400</v>
      </c>
      <c r="I32" s="102"/>
      <c r="J32" s="109"/>
      <c r="K32" s="109"/>
      <c r="L32" s="110"/>
      <c r="M32" s="111"/>
      <c r="N32" s="112"/>
      <c r="O32" s="67"/>
    </row>
    <row r="33" ht="18.0" customHeight="1">
      <c r="A33" s="67"/>
      <c r="B33" s="96" t="s">
        <v>27</v>
      </c>
      <c r="C33" s="97"/>
      <c r="D33" s="99">
        <v>1.0</v>
      </c>
      <c r="E33" s="99">
        <v>1.0</v>
      </c>
      <c r="F33" s="99">
        <v>13.0</v>
      </c>
      <c r="G33" s="108">
        <v>2.0</v>
      </c>
      <c r="H33" s="101">
        <f t="shared" si="2"/>
        <v>26</v>
      </c>
      <c r="I33" s="102"/>
      <c r="J33" s="109"/>
      <c r="K33" s="109"/>
      <c r="L33" s="110"/>
      <c r="M33" s="111"/>
      <c r="N33" s="112"/>
      <c r="O33" s="67"/>
    </row>
    <row r="34" ht="18.0" customHeight="1">
      <c r="A34" s="67"/>
      <c r="B34" s="96" t="s">
        <v>28</v>
      </c>
      <c r="C34" s="97"/>
      <c r="D34" s="99">
        <v>1.0</v>
      </c>
      <c r="E34" s="99">
        <v>1.0</v>
      </c>
      <c r="F34" s="99">
        <v>100.0</v>
      </c>
      <c r="G34" s="108">
        <v>2.0</v>
      </c>
      <c r="H34" s="101">
        <f t="shared" si="2"/>
        <v>200</v>
      </c>
      <c r="I34" s="102"/>
      <c r="J34" s="109"/>
      <c r="K34" s="109"/>
      <c r="L34" s="110"/>
      <c r="M34" s="111"/>
      <c r="N34" s="112"/>
      <c r="O34" s="67"/>
    </row>
    <row r="35" ht="18.0" customHeight="1">
      <c r="A35" s="67"/>
      <c r="B35" s="113"/>
      <c r="C35" s="113"/>
      <c r="D35" s="114"/>
      <c r="E35" s="105"/>
      <c r="F35" s="105"/>
      <c r="G35" s="101"/>
      <c r="H35" s="101"/>
      <c r="I35" s="102"/>
      <c r="J35" s="109"/>
      <c r="K35" s="109"/>
      <c r="L35" s="110"/>
      <c r="M35" s="111"/>
      <c r="N35" s="112"/>
      <c r="O35" s="67"/>
    </row>
    <row r="36" ht="18.0" customHeight="1">
      <c r="A36" s="67"/>
      <c r="B36" s="113"/>
      <c r="C36" s="113"/>
      <c r="D36" s="114"/>
      <c r="E36" s="105"/>
      <c r="F36" s="105"/>
      <c r="G36" s="101"/>
      <c r="H36" s="101"/>
      <c r="I36" s="102"/>
      <c r="J36" s="103"/>
      <c r="K36" s="103"/>
      <c r="L36" s="104"/>
      <c r="M36" s="105"/>
      <c r="N36" s="101"/>
      <c r="O36" s="67"/>
    </row>
    <row r="37" ht="18.0" customHeight="1">
      <c r="A37" s="67"/>
      <c r="B37" s="113"/>
      <c r="C37" s="113"/>
      <c r="D37" s="114"/>
      <c r="E37" s="105"/>
      <c r="F37" s="105"/>
      <c r="G37" s="101"/>
      <c r="H37" s="101"/>
      <c r="I37" s="102"/>
      <c r="J37" s="103"/>
      <c r="K37" s="103"/>
      <c r="L37" s="104"/>
      <c r="M37" s="105"/>
      <c r="N37" s="101"/>
      <c r="O37" s="67"/>
    </row>
    <row r="38" ht="18.0" customHeight="1">
      <c r="A38" s="67"/>
      <c r="B38" s="113"/>
      <c r="C38" s="113"/>
      <c r="D38" s="114"/>
      <c r="E38" s="105"/>
      <c r="F38" s="105"/>
      <c r="G38" s="101"/>
      <c r="H38" s="101"/>
      <c r="I38" s="102"/>
      <c r="J38" s="103"/>
      <c r="K38" s="103"/>
      <c r="L38" s="104"/>
      <c r="M38" s="105"/>
      <c r="N38" s="101"/>
      <c r="O38" s="67"/>
    </row>
    <row r="39" ht="18.0" customHeight="1">
      <c r="A39" s="67"/>
      <c r="B39" s="113"/>
      <c r="C39" s="113"/>
      <c r="D39" s="114"/>
      <c r="E39" s="105"/>
      <c r="F39" s="105"/>
      <c r="G39" s="101"/>
      <c r="H39" s="101"/>
      <c r="I39" s="102"/>
      <c r="J39" s="103"/>
      <c r="K39" s="103"/>
      <c r="L39" s="104"/>
      <c r="M39" s="105"/>
      <c r="N39" s="101"/>
      <c r="O39" s="67"/>
    </row>
    <row r="40" ht="18.0" customHeight="1">
      <c r="A40" s="67"/>
      <c r="B40" s="113"/>
      <c r="C40" s="113"/>
      <c r="D40" s="114"/>
      <c r="E40" s="105"/>
      <c r="F40" s="105"/>
      <c r="G40" s="101"/>
      <c r="H40" s="101"/>
      <c r="I40" s="102"/>
      <c r="J40" s="103"/>
      <c r="K40" s="103"/>
      <c r="L40" s="104"/>
      <c r="M40" s="105"/>
      <c r="N40" s="101"/>
      <c r="O40" s="67"/>
    </row>
    <row r="41" ht="18.0" customHeight="1">
      <c r="A41" s="67"/>
      <c r="B41" s="113"/>
      <c r="C41" s="113"/>
      <c r="D41" s="114"/>
      <c r="E41" s="105"/>
      <c r="F41" s="105"/>
      <c r="G41" s="101"/>
      <c r="H41" s="101"/>
      <c r="I41" s="102"/>
      <c r="J41" s="103"/>
      <c r="K41" s="103"/>
      <c r="L41" s="104"/>
      <c r="M41" s="105"/>
      <c r="N41" s="101"/>
      <c r="O41" s="67"/>
    </row>
    <row r="42" ht="18.0" customHeight="1">
      <c r="A42" s="67"/>
      <c r="B42" s="113"/>
      <c r="C42" s="113"/>
      <c r="D42" s="114"/>
      <c r="E42" s="105"/>
      <c r="F42" s="105"/>
      <c r="G42" s="101"/>
      <c r="H42" s="101"/>
      <c r="I42" s="102"/>
      <c r="J42" s="103"/>
      <c r="K42" s="103"/>
      <c r="L42" s="104"/>
      <c r="M42" s="105"/>
      <c r="N42" s="101"/>
      <c r="O42" s="67"/>
    </row>
    <row r="43" ht="18.0" customHeight="1">
      <c r="A43" s="67"/>
      <c r="B43" s="113"/>
      <c r="C43" s="113"/>
      <c r="D43" s="114"/>
      <c r="E43" s="105"/>
      <c r="F43" s="105"/>
      <c r="G43" s="101"/>
      <c r="H43" s="101"/>
      <c r="I43" s="102"/>
      <c r="J43" s="103"/>
      <c r="K43" s="103"/>
      <c r="L43" s="104"/>
      <c r="M43" s="105"/>
      <c r="N43" s="101"/>
      <c r="O43" s="67"/>
    </row>
    <row r="44" ht="18.0" customHeight="1">
      <c r="A44" s="67"/>
      <c r="B44" s="113"/>
      <c r="C44" s="113"/>
      <c r="D44" s="114"/>
      <c r="E44" s="105"/>
      <c r="F44" s="105"/>
      <c r="G44" s="101"/>
      <c r="H44" s="101"/>
      <c r="I44" s="102"/>
      <c r="J44" s="103"/>
      <c r="K44" s="103"/>
      <c r="L44" s="104"/>
      <c r="M44" s="105"/>
      <c r="N44" s="101"/>
      <c r="O44" s="67"/>
    </row>
    <row r="45" ht="18.0" customHeight="1">
      <c r="A45" s="67"/>
      <c r="B45" s="113"/>
      <c r="C45" s="113"/>
      <c r="D45" s="114"/>
      <c r="E45" s="105"/>
      <c r="F45" s="105"/>
      <c r="G45" s="101"/>
      <c r="H45" s="101"/>
      <c r="I45" s="102"/>
      <c r="J45" s="103"/>
      <c r="K45" s="103"/>
      <c r="L45" s="104"/>
      <c r="M45" s="105"/>
      <c r="N45" s="101"/>
      <c r="O45" s="67"/>
    </row>
    <row r="46" ht="18.0" customHeight="1">
      <c r="A46" s="67"/>
      <c r="B46" s="113"/>
      <c r="C46" s="113"/>
      <c r="D46" s="114"/>
      <c r="E46" s="105"/>
      <c r="F46" s="105"/>
      <c r="G46" s="101"/>
      <c r="H46" s="101"/>
      <c r="I46" s="102"/>
      <c r="J46" s="103"/>
      <c r="K46" s="103"/>
      <c r="L46" s="104"/>
      <c r="M46" s="105"/>
      <c r="N46" s="101"/>
      <c r="O46" s="67"/>
    </row>
    <row r="47" ht="18.0" customHeight="1">
      <c r="A47" s="67"/>
      <c r="B47" s="113"/>
      <c r="C47" s="113"/>
      <c r="D47" s="114"/>
      <c r="E47" s="105"/>
      <c r="F47" s="105"/>
      <c r="G47" s="101"/>
      <c r="H47" s="101"/>
      <c r="I47" s="102"/>
      <c r="J47" s="103"/>
      <c r="K47" s="103"/>
      <c r="L47" s="104"/>
      <c r="M47" s="105"/>
      <c r="N47" s="101"/>
      <c r="O47" s="67"/>
    </row>
    <row r="48" ht="18.0" customHeight="1">
      <c r="A48" s="67"/>
      <c r="B48" s="113"/>
      <c r="C48" s="113"/>
      <c r="D48" s="114"/>
      <c r="E48" s="105"/>
      <c r="F48" s="105"/>
      <c r="G48" s="101"/>
      <c r="H48" s="101"/>
      <c r="I48" s="102"/>
      <c r="J48" s="103"/>
      <c r="K48" s="103"/>
      <c r="L48" s="104"/>
      <c r="M48" s="105"/>
      <c r="N48" s="101"/>
      <c r="O48" s="67"/>
    </row>
    <row r="49" ht="18.0" customHeight="1">
      <c r="A49" s="67"/>
      <c r="B49" s="113"/>
      <c r="C49" s="113"/>
      <c r="D49" s="114"/>
      <c r="E49" s="105"/>
      <c r="F49" s="105"/>
      <c r="G49" s="101"/>
      <c r="H49" s="101"/>
      <c r="I49" s="102"/>
      <c r="J49" s="103"/>
      <c r="K49" s="103"/>
      <c r="L49" s="104"/>
      <c r="M49" s="105"/>
      <c r="N49" s="101"/>
      <c r="O49" s="67"/>
    </row>
    <row r="50" ht="18.0" customHeight="1">
      <c r="A50" s="67"/>
      <c r="B50" s="113"/>
      <c r="C50" s="113"/>
      <c r="D50" s="114"/>
      <c r="E50" s="105"/>
      <c r="F50" s="105"/>
      <c r="G50" s="101"/>
      <c r="H50" s="101"/>
      <c r="I50" s="102"/>
      <c r="J50" s="103"/>
      <c r="K50" s="103"/>
      <c r="L50" s="104"/>
      <c r="M50" s="105"/>
      <c r="N50" s="101"/>
      <c r="O50" s="67"/>
    </row>
    <row r="51" ht="18.0" customHeight="1">
      <c r="A51" s="67"/>
      <c r="B51" s="113"/>
      <c r="C51" s="113"/>
      <c r="D51" s="114"/>
      <c r="E51" s="105"/>
      <c r="F51" s="105"/>
      <c r="G51" s="101"/>
      <c r="H51" s="101"/>
      <c r="I51" s="102"/>
      <c r="J51" s="103"/>
      <c r="K51" s="103"/>
      <c r="L51" s="104"/>
      <c r="M51" s="105"/>
      <c r="N51" s="101"/>
      <c r="O51" s="67"/>
    </row>
    <row r="52" ht="18.0" customHeight="1">
      <c r="A52" s="67"/>
      <c r="B52" s="113"/>
      <c r="C52" s="113"/>
      <c r="D52" s="114"/>
      <c r="E52" s="105"/>
      <c r="F52" s="105"/>
      <c r="G52" s="101"/>
      <c r="H52" s="101"/>
      <c r="I52" s="102"/>
      <c r="J52" s="103"/>
      <c r="K52" s="103"/>
      <c r="L52" s="104"/>
      <c r="M52" s="105"/>
      <c r="N52" s="101"/>
      <c r="O52" s="67"/>
    </row>
    <row r="53" ht="18.0" customHeight="1">
      <c r="A53" s="67"/>
      <c r="B53" s="113"/>
      <c r="C53" s="113"/>
      <c r="D53" s="114"/>
      <c r="E53" s="105"/>
      <c r="F53" s="105"/>
      <c r="G53" s="101"/>
      <c r="H53" s="101"/>
      <c r="I53" s="102"/>
      <c r="J53" s="103"/>
      <c r="K53" s="103"/>
      <c r="L53" s="104"/>
      <c r="M53" s="105"/>
      <c r="N53" s="101"/>
      <c r="O53" s="67"/>
    </row>
    <row r="54" ht="18.0" customHeight="1">
      <c r="A54" s="67"/>
      <c r="B54" s="113"/>
      <c r="C54" s="113"/>
      <c r="D54" s="114"/>
      <c r="E54" s="105"/>
      <c r="F54" s="105"/>
      <c r="G54" s="101"/>
      <c r="H54" s="101"/>
      <c r="I54" s="102"/>
      <c r="J54" s="103"/>
      <c r="K54" s="103"/>
      <c r="L54" s="104"/>
      <c r="M54" s="105"/>
      <c r="N54" s="101"/>
      <c r="O54" s="67"/>
    </row>
    <row r="55" ht="18.0" customHeight="1">
      <c r="A55" s="67"/>
      <c r="B55" s="113"/>
      <c r="C55" s="113"/>
      <c r="D55" s="114"/>
      <c r="E55" s="105"/>
      <c r="F55" s="105"/>
      <c r="G55" s="101"/>
      <c r="H55" s="101"/>
      <c r="I55" s="102"/>
      <c r="J55" s="103"/>
      <c r="K55" s="103"/>
      <c r="L55" s="104"/>
      <c r="M55" s="105"/>
      <c r="N55" s="101"/>
      <c r="O55" s="67"/>
    </row>
    <row r="56" ht="18.0" customHeight="1">
      <c r="A56" s="67"/>
      <c r="B56" s="113"/>
      <c r="C56" s="113"/>
      <c r="D56" s="114"/>
      <c r="E56" s="105"/>
      <c r="F56" s="105"/>
      <c r="G56" s="101"/>
      <c r="H56" s="101"/>
      <c r="I56" s="102"/>
      <c r="J56" s="103"/>
      <c r="K56" s="103"/>
      <c r="L56" s="104"/>
      <c r="M56" s="105"/>
      <c r="N56" s="101"/>
      <c r="O56" s="67"/>
    </row>
    <row r="57" ht="18.0" customHeight="1">
      <c r="A57" s="67"/>
      <c r="B57" s="113"/>
      <c r="C57" s="113"/>
      <c r="D57" s="114"/>
      <c r="E57" s="105"/>
      <c r="F57" s="105"/>
      <c r="G57" s="101"/>
      <c r="H57" s="101"/>
      <c r="I57" s="102"/>
      <c r="J57" s="103"/>
      <c r="K57" s="103"/>
      <c r="L57" s="104"/>
      <c r="M57" s="105"/>
      <c r="N57" s="101"/>
      <c r="O57" s="67"/>
    </row>
    <row r="58" ht="18.0" customHeight="1">
      <c r="A58" s="67"/>
      <c r="B58" s="113"/>
      <c r="C58" s="113"/>
      <c r="D58" s="114"/>
      <c r="E58" s="105"/>
      <c r="F58" s="105"/>
      <c r="G58" s="101"/>
      <c r="H58" s="101"/>
      <c r="I58" s="102"/>
      <c r="J58" s="103"/>
      <c r="K58" s="103"/>
      <c r="L58" s="104"/>
      <c r="M58" s="105"/>
      <c r="N58" s="101"/>
      <c r="O58" s="67"/>
    </row>
    <row r="59" ht="18.0" customHeight="1">
      <c r="A59" s="67"/>
      <c r="B59" s="113"/>
      <c r="C59" s="113"/>
      <c r="D59" s="114"/>
      <c r="E59" s="105"/>
      <c r="F59" s="105"/>
      <c r="G59" s="101"/>
      <c r="H59" s="101"/>
      <c r="I59" s="102"/>
      <c r="J59" s="103"/>
      <c r="K59" s="103"/>
      <c r="L59" s="104"/>
      <c r="M59" s="105"/>
      <c r="N59" s="101"/>
      <c r="O59" s="67"/>
    </row>
    <row r="60" ht="18.0" customHeight="1">
      <c r="A60" s="67"/>
      <c r="B60" s="113"/>
      <c r="C60" s="113"/>
      <c r="D60" s="114"/>
      <c r="E60" s="105"/>
      <c r="F60" s="105"/>
      <c r="G60" s="101"/>
      <c r="H60" s="101"/>
      <c r="I60" s="102"/>
      <c r="J60" s="103"/>
      <c r="K60" s="103"/>
      <c r="L60" s="104"/>
      <c r="M60" s="105"/>
      <c r="N60" s="101"/>
      <c r="O60" s="67"/>
    </row>
    <row r="61" ht="18.0" customHeight="1">
      <c r="A61" s="67"/>
      <c r="B61" s="113"/>
      <c r="C61" s="113"/>
      <c r="D61" s="114"/>
      <c r="E61" s="105"/>
      <c r="F61" s="105"/>
      <c r="G61" s="101"/>
      <c r="H61" s="101"/>
      <c r="I61" s="102"/>
      <c r="J61" s="103"/>
      <c r="K61" s="103"/>
      <c r="L61" s="104"/>
      <c r="M61" s="105"/>
      <c r="N61" s="101"/>
      <c r="O61" s="67"/>
    </row>
    <row r="62" ht="18.0" customHeight="1">
      <c r="A62" s="67"/>
      <c r="B62" s="113"/>
      <c r="C62" s="113"/>
      <c r="D62" s="114"/>
      <c r="E62" s="105"/>
      <c r="F62" s="105"/>
      <c r="G62" s="101"/>
      <c r="H62" s="101"/>
      <c r="I62" s="102"/>
      <c r="J62" s="103"/>
      <c r="K62" s="103"/>
      <c r="L62" s="104"/>
      <c r="M62" s="105"/>
      <c r="N62" s="101"/>
      <c r="O62" s="67"/>
    </row>
    <row r="63" ht="18.0" customHeight="1">
      <c r="A63" s="67"/>
      <c r="B63" s="113"/>
      <c r="C63" s="113"/>
      <c r="D63" s="114"/>
      <c r="E63" s="105"/>
      <c r="F63" s="105"/>
      <c r="G63" s="101"/>
      <c r="H63" s="101"/>
      <c r="I63" s="102"/>
      <c r="J63" s="103"/>
      <c r="K63" s="103"/>
      <c r="L63" s="104"/>
      <c r="M63" s="105"/>
      <c r="N63" s="101"/>
      <c r="O63" s="67"/>
    </row>
    <row r="64" ht="18.0" customHeight="1">
      <c r="A64" s="67"/>
      <c r="B64" s="113"/>
      <c r="C64" s="113"/>
      <c r="D64" s="114"/>
      <c r="E64" s="105"/>
      <c r="F64" s="105"/>
      <c r="G64" s="101"/>
      <c r="H64" s="101"/>
      <c r="I64" s="102"/>
      <c r="J64" s="103"/>
      <c r="K64" s="103"/>
      <c r="L64" s="104"/>
      <c r="M64" s="105"/>
      <c r="N64" s="101"/>
      <c r="O64" s="67"/>
    </row>
    <row r="65" ht="18.0" customHeight="1">
      <c r="A65" s="67"/>
      <c r="B65" s="113"/>
      <c r="C65" s="113"/>
      <c r="D65" s="114"/>
      <c r="E65" s="105"/>
      <c r="F65" s="105"/>
      <c r="G65" s="101"/>
      <c r="H65" s="101"/>
      <c r="I65" s="102"/>
      <c r="J65" s="103"/>
      <c r="K65" s="103"/>
      <c r="L65" s="104"/>
      <c r="M65" s="105"/>
      <c r="N65" s="101"/>
      <c r="O65" s="67"/>
    </row>
    <row r="66" ht="18.0" customHeight="1">
      <c r="A66" s="67"/>
      <c r="B66" s="113"/>
      <c r="C66" s="113"/>
      <c r="D66" s="114"/>
      <c r="E66" s="105"/>
      <c r="F66" s="105"/>
      <c r="G66" s="101"/>
      <c r="H66" s="101"/>
      <c r="I66" s="102"/>
      <c r="J66" s="103"/>
      <c r="K66" s="103"/>
      <c r="L66" s="104"/>
      <c r="M66" s="105"/>
      <c r="N66" s="101"/>
      <c r="O66" s="67"/>
    </row>
    <row r="67" ht="18.0" customHeight="1">
      <c r="A67" s="67"/>
      <c r="B67" s="113"/>
      <c r="C67" s="113"/>
      <c r="D67" s="114"/>
      <c r="E67" s="105"/>
      <c r="F67" s="105"/>
      <c r="G67" s="101"/>
      <c r="H67" s="101"/>
      <c r="I67" s="102"/>
      <c r="J67" s="103"/>
      <c r="K67" s="103"/>
      <c r="L67" s="104"/>
      <c r="M67" s="105"/>
      <c r="N67" s="101"/>
      <c r="O67" s="67"/>
    </row>
    <row r="68" ht="18.0" customHeight="1">
      <c r="A68" s="67"/>
      <c r="B68" s="113"/>
      <c r="C68" s="113"/>
      <c r="D68" s="114"/>
      <c r="E68" s="105"/>
      <c r="F68" s="105"/>
      <c r="G68" s="101"/>
      <c r="H68" s="101"/>
      <c r="I68" s="102"/>
      <c r="J68" s="103"/>
      <c r="K68" s="103"/>
      <c r="L68" s="104"/>
      <c r="M68" s="105"/>
      <c r="N68" s="101"/>
      <c r="O68" s="67"/>
    </row>
    <row r="69" ht="18.0" customHeight="1">
      <c r="A69" s="67"/>
      <c r="B69" s="113"/>
      <c r="C69" s="113"/>
      <c r="D69" s="114"/>
      <c r="E69" s="105"/>
      <c r="F69" s="105"/>
      <c r="G69" s="101"/>
      <c r="H69" s="101"/>
      <c r="I69" s="102"/>
      <c r="J69" s="103"/>
      <c r="K69" s="103"/>
      <c r="L69" s="104"/>
      <c r="M69" s="105"/>
      <c r="N69" s="101"/>
      <c r="O69" s="67"/>
    </row>
    <row r="70" ht="18.0" customHeight="1">
      <c r="A70" s="67"/>
      <c r="B70" s="113"/>
      <c r="C70" s="113"/>
      <c r="D70" s="114"/>
      <c r="E70" s="105"/>
      <c r="F70" s="105"/>
      <c r="G70" s="101"/>
      <c r="H70" s="101"/>
      <c r="I70" s="102"/>
      <c r="J70" s="103"/>
      <c r="K70" s="103"/>
      <c r="L70" s="104"/>
      <c r="M70" s="105"/>
      <c r="N70" s="101"/>
      <c r="O70" s="67"/>
    </row>
  </sheetData>
  <mergeCells count="30">
    <mergeCell ref="B2:J2"/>
    <mergeCell ref="K2:N2"/>
    <mergeCell ref="B3:I4"/>
    <mergeCell ref="K3:N3"/>
    <mergeCell ref="K4:O5"/>
    <mergeCell ref="B5:I6"/>
    <mergeCell ref="L8:M8"/>
    <mergeCell ref="B8:F9"/>
    <mergeCell ref="D12:D15"/>
    <mergeCell ref="F12:F15"/>
    <mergeCell ref="K13:M13"/>
    <mergeCell ref="K14:M14"/>
    <mergeCell ref="K15:M15"/>
    <mergeCell ref="K16:M16"/>
    <mergeCell ref="K17:M17"/>
    <mergeCell ref="B20:H20"/>
    <mergeCell ref="D21:H21"/>
    <mergeCell ref="L21:N21"/>
    <mergeCell ref="D22:H22"/>
    <mergeCell ref="L22:N22"/>
    <mergeCell ref="L23:N23"/>
    <mergeCell ref="D23:H23"/>
    <mergeCell ref="B24:C24"/>
    <mergeCell ref="B27:C27"/>
    <mergeCell ref="B33:C33"/>
    <mergeCell ref="B34:C34"/>
    <mergeCell ref="B31:C31"/>
    <mergeCell ref="B32:C32"/>
    <mergeCell ref="B28:C28"/>
    <mergeCell ref="B29:C29"/>
  </mergeCells>
  <conditionalFormatting sqref="B27:C70 D27:F34 J27:J70">
    <cfRule type="notContainsBlanks" dxfId="0" priority="1">
      <formula>LEN(TRIM(B27))&gt;0</formula>
    </cfRule>
  </conditionalFormatting>
  <conditionalFormatting sqref="D27:D28 E27:E34 B30:C30 D30:D70 F30 F32:F34">
    <cfRule type="expression" dxfId="0" priority="2">
      <formula>not(isblank(B27))</formula>
    </cfRule>
  </conditionalFormatting>
  <conditionalFormatting sqref="L27:L70">
    <cfRule type="expression" dxfId="0" priority="3">
      <formula>not(isblank(J27))</formula>
    </cfRule>
  </conditionalFormatting>
  <conditionalFormatting sqref="G26:H70 N26:N70">
    <cfRule type="cellIs" dxfId="1" priority="4" operator="lessThan">
      <formula>0</formula>
    </cfRule>
  </conditionalFormatting>
  <conditionalFormatting sqref="G27:H70 N27:N70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3.25"/>
    <col customWidth="1" min="11" max="11" width="5.13"/>
  </cols>
  <sheetData>
    <row r="1" ht="33.0" customHeight="1">
      <c r="A1" s="115"/>
      <c r="B1" s="11" t="s">
        <v>29</v>
      </c>
      <c r="K1" s="115"/>
    </row>
    <row r="2" ht="48.0" customHeight="1">
      <c r="A2" s="116"/>
      <c r="B2" s="117" t="s">
        <v>10</v>
      </c>
      <c r="C2" s="116"/>
      <c r="D2" s="116"/>
      <c r="E2" s="116"/>
      <c r="F2" s="116"/>
      <c r="G2" s="117" t="s">
        <v>11</v>
      </c>
      <c r="H2" s="116"/>
      <c r="I2" s="116"/>
      <c r="J2" s="116"/>
      <c r="K2" s="116"/>
    </row>
    <row r="3" ht="12.0" customHeight="1">
      <c r="A3" s="15"/>
      <c r="B3" s="118"/>
      <c r="C3" s="118"/>
      <c r="D3" s="118"/>
      <c r="E3" s="118"/>
      <c r="F3" s="15"/>
      <c r="G3" s="118"/>
      <c r="H3" s="118"/>
      <c r="I3" s="118"/>
      <c r="J3" s="118"/>
      <c r="K3" s="15"/>
    </row>
    <row r="4" ht="24.0" customHeight="1">
      <c r="A4" s="67"/>
      <c r="B4" s="119" t="s">
        <v>30</v>
      </c>
      <c r="C4" s="119" t="s">
        <v>31</v>
      </c>
      <c r="D4" s="119" t="s">
        <v>32</v>
      </c>
      <c r="E4" s="119" t="s">
        <v>33</v>
      </c>
      <c r="F4" s="67"/>
      <c r="G4" s="119" t="s">
        <v>30</v>
      </c>
      <c r="H4" s="119" t="s">
        <v>31</v>
      </c>
      <c r="I4" s="119" t="s">
        <v>32</v>
      </c>
      <c r="J4" s="119" t="s">
        <v>33</v>
      </c>
      <c r="K4" s="67"/>
    </row>
    <row r="5" ht="19.5" customHeight="1">
      <c r="A5" s="67"/>
      <c r="B5" s="120">
        <v>36868.0</v>
      </c>
      <c r="C5" s="121">
        <v>1000.0</v>
      </c>
      <c r="D5" s="122" t="s">
        <v>34</v>
      </c>
      <c r="E5" s="123" t="s">
        <v>35</v>
      </c>
      <c r="F5" s="67"/>
      <c r="G5" s="120">
        <v>36868.0</v>
      </c>
      <c r="H5" s="121">
        <v>1500.0</v>
      </c>
      <c r="I5" s="124" t="s">
        <v>36</v>
      </c>
      <c r="J5" s="123" t="s">
        <v>36</v>
      </c>
      <c r="K5" s="67"/>
    </row>
    <row r="6" ht="19.5" customHeight="1">
      <c r="A6" s="67"/>
      <c r="B6" s="125"/>
      <c r="C6" s="126"/>
      <c r="D6" s="127"/>
      <c r="E6" s="128"/>
      <c r="F6" s="67"/>
      <c r="G6" s="125"/>
      <c r="H6" s="126"/>
      <c r="I6" s="129"/>
      <c r="J6" s="128"/>
      <c r="K6" s="67"/>
    </row>
    <row r="7" ht="19.5" customHeight="1">
      <c r="A7" s="67"/>
      <c r="B7" s="125"/>
      <c r="C7" s="126"/>
      <c r="D7" s="127"/>
      <c r="E7" s="128"/>
      <c r="F7" s="67"/>
      <c r="G7" s="125"/>
      <c r="H7" s="126"/>
      <c r="I7" s="129"/>
      <c r="J7" s="128"/>
      <c r="K7" s="67"/>
    </row>
    <row r="8" ht="19.5" customHeight="1">
      <c r="A8" s="67"/>
      <c r="B8" s="125"/>
      <c r="C8" s="126"/>
      <c r="D8" s="127"/>
      <c r="E8" s="130"/>
      <c r="F8" s="67"/>
      <c r="G8" s="125"/>
      <c r="H8" s="126"/>
      <c r="I8" s="129"/>
      <c r="J8" s="128"/>
      <c r="K8" s="67"/>
    </row>
    <row r="9" ht="19.5" customHeight="1">
      <c r="A9" s="67"/>
      <c r="B9" s="125"/>
      <c r="C9" s="126"/>
      <c r="D9" s="127"/>
      <c r="E9" s="128"/>
      <c r="F9" s="67"/>
      <c r="G9" s="125"/>
      <c r="H9" s="126"/>
      <c r="I9" s="129"/>
      <c r="J9" s="128"/>
      <c r="K9" s="67"/>
    </row>
    <row r="10" ht="19.5" customHeight="1">
      <c r="A10" s="67"/>
      <c r="B10" s="125"/>
      <c r="C10" s="126"/>
      <c r="D10" s="127"/>
      <c r="E10" s="128"/>
      <c r="F10" s="67"/>
      <c r="G10" s="125"/>
      <c r="H10" s="126"/>
      <c r="I10" s="131"/>
      <c r="J10" s="130"/>
      <c r="K10" s="67"/>
    </row>
    <row r="11" ht="19.5" customHeight="1">
      <c r="A11" s="67"/>
      <c r="B11" s="125"/>
      <c r="C11" s="126"/>
      <c r="D11" s="127"/>
      <c r="E11" s="128"/>
      <c r="F11" s="67"/>
      <c r="G11" s="125"/>
      <c r="H11" s="126"/>
      <c r="I11" s="131"/>
      <c r="J11" s="130"/>
      <c r="K11" s="67"/>
    </row>
    <row r="12" ht="19.5" customHeight="1">
      <c r="A12" s="67"/>
      <c r="B12" s="125"/>
      <c r="C12" s="126"/>
      <c r="D12" s="127"/>
      <c r="E12" s="128"/>
      <c r="F12" s="67"/>
      <c r="G12" s="125"/>
      <c r="H12" s="126"/>
      <c r="I12" s="131"/>
      <c r="J12" s="130"/>
      <c r="K12" s="67"/>
    </row>
    <row r="13" ht="19.5" customHeight="1">
      <c r="A13" s="67"/>
      <c r="B13" s="125"/>
      <c r="C13" s="126"/>
      <c r="D13" s="127"/>
      <c r="E13" s="128"/>
      <c r="F13" s="67"/>
      <c r="G13" s="125"/>
      <c r="H13" s="126"/>
      <c r="I13" s="131"/>
      <c r="J13" s="130"/>
      <c r="K13" s="67"/>
    </row>
    <row r="14" ht="19.5" customHeight="1">
      <c r="A14" s="67"/>
      <c r="B14" s="125"/>
      <c r="C14" s="126"/>
      <c r="D14" s="127"/>
      <c r="E14" s="128"/>
      <c r="F14" s="67"/>
      <c r="G14" s="125"/>
      <c r="H14" s="126"/>
      <c r="I14" s="131"/>
      <c r="J14" s="130"/>
      <c r="K14" s="67"/>
    </row>
    <row r="15" ht="19.5" customHeight="1">
      <c r="A15" s="67"/>
      <c r="B15" s="125"/>
      <c r="C15" s="126"/>
      <c r="D15" s="127"/>
      <c r="E15" s="128"/>
      <c r="F15" s="67"/>
      <c r="G15" s="125"/>
      <c r="H15" s="126"/>
      <c r="I15" s="131"/>
      <c r="J15" s="130"/>
      <c r="K15" s="67"/>
    </row>
    <row r="16" ht="19.5" customHeight="1">
      <c r="A16" s="67"/>
      <c r="B16" s="125"/>
      <c r="C16" s="126"/>
      <c r="D16" s="127"/>
      <c r="E16" s="128"/>
      <c r="F16" s="67"/>
      <c r="G16" s="125"/>
      <c r="H16" s="126"/>
      <c r="I16" s="129"/>
      <c r="J16" s="128"/>
      <c r="K16" s="67"/>
    </row>
    <row r="17" ht="19.5" customHeight="1">
      <c r="A17" s="67"/>
      <c r="B17" s="125"/>
      <c r="C17" s="126"/>
      <c r="D17" s="127"/>
      <c r="E17" s="130"/>
      <c r="F17" s="67"/>
      <c r="G17" s="132"/>
      <c r="H17" s="133"/>
      <c r="I17" s="131"/>
      <c r="J17" s="130"/>
      <c r="K17" s="67"/>
    </row>
    <row r="18" ht="19.5" customHeight="1">
      <c r="A18" s="67"/>
      <c r="B18" s="125"/>
      <c r="C18" s="126"/>
      <c r="D18" s="127"/>
      <c r="E18" s="130"/>
      <c r="F18" s="67"/>
      <c r="G18" s="132"/>
      <c r="H18" s="133"/>
      <c r="I18" s="131"/>
      <c r="J18" s="130"/>
      <c r="K18" s="67"/>
    </row>
    <row r="19" ht="19.5" customHeight="1">
      <c r="A19" s="67"/>
      <c r="B19" s="132"/>
      <c r="C19" s="126"/>
      <c r="D19" s="127"/>
      <c r="E19" s="130"/>
      <c r="F19" s="67"/>
      <c r="G19" s="132"/>
      <c r="H19" s="133"/>
      <c r="I19" s="131"/>
      <c r="J19" s="130"/>
      <c r="K19" s="67"/>
    </row>
    <row r="20" ht="19.5" customHeight="1">
      <c r="A20" s="67"/>
      <c r="B20" s="132"/>
      <c r="C20" s="126"/>
      <c r="D20" s="127"/>
      <c r="E20" s="130"/>
      <c r="F20" s="67"/>
      <c r="G20" s="132"/>
      <c r="H20" s="133"/>
      <c r="I20" s="131"/>
      <c r="J20" s="130"/>
      <c r="K20" s="67"/>
    </row>
    <row r="21" ht="19.5" customHeight="1">
      <c r="A21" s="67"/>
      <c r="B21" s="132"/>
      <c r="C21" s="126"/>
      <c r="D21" s="134"/>
      <c r="E21" s="130"/>
      <c r="F21" s="67"/>
      <c r="G21" s="132"/>
      <c r="H21" s="133"/>
      <c r="I21" s="131"/>
      <c r="J21" s="130"/>
      <c r="K21" s="67"/>
    </row>
    <row r="22" ht="19.5" customHeight="1">
      <c r="A22" s="67"/>
      <c r="B22" s="132"/>
      <c r="C22" s="126"/>
      <c r="D22" s="134"/>
      <c r="E22" s="130"/>
      <c r="F22" s="67"/>
      <c r="G22" s="132"/>
      <c r="H22" s="133"/>
      <c r="I22" s="131"/>
      <c r="J22" s="130"/>
      <c r="K22" s="67"/>
    </row>
    <row r="23" ht="19.5" customHeight="1">
      <c r="A23" s="67"/>
      <c r="B23" s="132"/>
      <c r="C23" s="126"/>
      <c r="D23" s="134"/>
      <c r="E23" s="130"/>
      <c r="F23" s="67"/>
      <c r="G23" s="132"/>
      <c r="H23" s="133"/>
      <c r="I23" s="131"/>
      <c r="J23" s="130"/>
      <c r="K23" s="67"/>
    </row>
    <row r="24" ht="19.5" customHeight="1">
      <c r="A24" s="67"/>
      <c r="B24" s="132"/>
      <c r="C24" s="126"/>
      <c r="D24" s="134"/>
      <c r="E24" s="130"/>
      <c r="F24" s="67"/>
      <c r="G24" s="132"/>
      <c r="H24" s="133"/>
      <c r="I24" s="131"/>
      <c r="J24" s="130"/>
      <c r="K24" s="67"/>
    </row>
    <row r="25" ht="19.5" customHeight="1">
      <c r="A25" s="67"/>
      <c r="B25" s="132"/>
      <c r="C25" s="126"/>
      <c r="D25" s="134"/>
      <c r="E25" s="130"/>
      <c r="F25" s="67"/>
      <c r="G25" s="132"/>
      <c r="H25" s="133"/>
      <c r="I25" s="131"/>
      <c r="J25" s="130"/>
      <c r="K25" s="67"/>
    </row>
    <row r="26" ht="19.5" customHeight="1">
      <c r="A26" s="67"/>
      <c r="B26" s="132"/>
      <c r="C26" s="126"/>
      <c r="D26" s="134"/>
      <c r="E26" s="130"/>
      <c r="F26" s="67"/>
      <c r="G26" s="132"/>
      <c r="H26" s="133"/>
      <c r="I26" s="131"/>
      <c r="J26" s="130"/>
      <c r="K26" s="67"/>
    </row>
    <row r="27" ht="19.5" customHeight="1">
      <c r="A27" s="67"/>
      <c r="B27" s="132"/>
      <c r="C27" s="126"/>
      <c r="D27" s="134"/>
      <c r="E27" s="130"/>
      <c r="F27" s="67"/>
      <c r="G27" s="132"/>
      <c r="H27" s="133"/>
      <c r="I27" s="131"/>
      <c r="J27" s="130"/>
      <c r="K27" s="67"/>
    </row>
    <row r="28" ht="19.5" customHeight="1">
      <c r="A28" s="67"/>
      <c r="B28" s="132"/>
      <c r="C28" s="126"/>
      <c r="D28" s="134"/>
      <c r="E28" s="130"/>
      <c r="F28" s="67"/>
      <c r="G28" s="132"/>
      <c r="H28" s="133"/>
      <c r="I28" s="131"/>
      <c r="J28" s="130"/>
      <c r="K28" s="67"/>
    </row>
    <row r="29" ht="19.5" customHeight="1">
      <c r="A29" s="67"/>
      <c r="B29" s="132"/>
      <c r="C29" s="126"/>
      <c r="D29" s="134"/>
      <c r="E29" s="130"/>
      <c r="F29" s="67"/>
      <c r="G29" s="132"/>
      <c r="H29" s="133"/>
      <c r="I29" s="131"/>
      <c r="J29" s="130"/>
      <c r="K29" s="67"/>
    </row>
    <row r="30" ht="19.5" customHeight="1">
      <c r="A30" s="67"/>
      <c r="B30" s="132"/>
      <c r="C30" s="126"/>
      <c r="D30" s="134"/>
      <c r="E30" s="130"/>
      <c r="F30" s="67"/>
      <c r="G30" s="132"/>
      <c r="H30" s="133"/>
      <c r="I30" s="131"/>
      <c r="J30" s="130"/>
      <c r="K30" s="67"/>
    </row>
    <row r="31" ht="19.5" customHeight="1">
      <c r="A31" s="67"/>
      <c r="B31" s="132"/>
      <c r="C31" s="126"/>
      <c r="D31" s="134"/>
      <c r="E31" s="130"/>
      <c r="F31" s="67"/>
      <c r="G31" s="132"/>
      <c r="H31" s="133"/>
      <c r="I31" s="131"/>
      <c r="J31" s="130"/>
      <c r="K31" s="67"/>
    </row>
    <row r="32" ht="19.5" customHeight="1">
      <c r="A32" s="67"/>
      <c r="B32" s="132"/>
      <c r="C32" s="126"/>
      <c r="D32" s="134"/>
      <c r="E32" s="130"/>
      <c r="F32" s="67"/>
      <c r="G32" s="132"/>
      <c r="H32" s="133"/>
      <c r="I32" s="131"/>
      <c r="J32" s="130"/>
      <c r="K32" s="67"/>
    </row>
    <row r="33" ht="19.5" customHeight="1">
      <c r="A33" s="67"/>
      <c r="B33" s="135"/>
      <c r="C33" s="136"/>
      <c r="D33" s="137"/>
      <c r="E33" s="138"/>
      <c r="F33" s="67"/>
      <c r="G33" s="135"/>
      <c r="H33" s="139"/>
      <c r="I33" s="140"/>
      <c r="J33" s="138"/>
      <c r="K33" s="67"/>
    </row>
  </sheetData>
  <mergeCells count="1">
    <mergeCell ref="B1:J1"/>
  </mergeCells>
  <dataValidations>
    <dataValidation type="list" allowBlank="1" sqref="E5:E33 J5:J33">
      <formula1>#REF!</formula1>
    </dataValidation>
  </dataValidations>
  <drawing r:id="rId1"/>
</worksheet>
</file>